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esktop\Abinaya J\"/>
    </mc:Choice>
  </mc:AlternateContent>
  <xr:revisionPtr revIDLastSave="0" documentId="13_ncr:1_{45617D20-AD1C-4217-B8C4-62C0EFFE67E3}" xr6:coauthVersionLast="37" xr6:coauthVersionMax="37" xr10:uidLastSave="{00000000-0000-0000-0000-000000000000}"/>
  <bookViews>
    <workbookView xWindow="0" yWindow="0" windowWidth="19200" windowHeight="8140" xr2:uid="{D93B3E45-E5E5-4E5D-9862-274244DE9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7" i="1"/>
  <c r="H3" i="1"/>
  <c r="H4" i="1"/>
  <c r="H5" i="1"/>
  <c r="H6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<sst xmlns="http://schemas.openxmlformats.org/spreadsheetml/2006/main" count="24" uniqueCount="22">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</sst>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EB94-A127-442A-A02C-B9A8EB389030}">
  <dimension ref="A1:L7"/>
  <sheetViews>
    <sheetView tabSelected="1" workbookViewId="0">
      <selection activeCell="M5" sqref="M5"/>
    </sheetView>
  </sheetViews>
  <sheetFormatPr defaultRowHeight="14.5" x14ac:dyDescent="0.35"/>
  <cols>
    <col min="1" max="1" width="14.453125" style="4" customWidth="1"/>
    <col min="2" max="2" width="13.1796875" style="4" customWidth="1"/>
    <col min="3" max="4" width="8.7265625" style="4"/>
    <col min="7" max="7" width="11.36328125" customWidth="1"/>
    <col min="10" max="10" width="22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</row>
    <row r="2" spans="1:12" x14ac:dyDescent="0.35">
      <c r="A2" s="3">
        <v>101</v>
      </c>
      <c r="B2" s="3" t="s">
        <v>5</v>
      </c>
      <c r="C2" s="3">
        <v>120</v>
      </c>
      <c r="D2" s="3">
        <v>150</v>
      </c>
      <c r="E2" s="2" t="s">
        <v>6</v>
      </c>
      <c r="F2" t="str">
        <f>IF(C2&gt;=D2,"met","not met")</f>
        <v>not met</v>
      </c>
      <c r="G2" t="str">
        <f>IF(AND(E2="north",C2&gt;200),"eligible","not eligible")</f>
        <v>not eligible</v>
      </c>
      <c r="H2" t="str">
        <f>IF(C2&gt;=200,"10%",IF(C2&gt;=150,"7%","5%"))</f>
        <v>5%</v>
      </c>
      <c r="I2" t="str">
        <f>IF(C2&gt;=D2,"10%","5%")</f>
        <v>5%</v>
      </c>
      <c r="J2" t="str">
        <f>IF(C2&gt;=200,"Excellent",IF(C2&gt;=150,"good","Needs Improvement"))</f>
        <v>Needs Improvement</v>
      </c>
      <c r="K2" t="str">
        <f>IF(C2&gt;200,"high", IF(C2&gt;=100,"medium","low"))</f>
        <v>medium</v>
      </c>
      <c r="L2">
        <f>IF(AND(C2&gt;=150,E2="North"),500,300)</f>
        <v>300</v>
      </c>
    </row>
    <row r="3" spans="1:12" x14ac:dyDescent="0.35">
      <c r="A3" s="3">
        <v>102</v>
      </c>
      <c r="B3" s="3" t="s">
        <v>7</v>
      </c>
      <c r="C3" s="3">
        <v>150</v>
      </c>
      <c r="D3" s="3">
        <v>140</v>
      </c>
      <c r="E3" s="2" t="s">
        <v>8</v>
      </c>
      <c r="F3" t="str">
        <f t="shared" ref="F3:F7" si="0">IF(C3&gt;=D3,"met","not met")</f>
        <v>met</v>
      </c>
      <c r="G3" t="str">
        <f t="shared" ref="G3:G7" si="1">IF(AND(E3="north",C3&gt;200),"eligible","not eligible")</f>
        <v>not eligible</v>
      </c>
      <c r="H3" t="str">
        <f t="shared" ref="H3:H7" si="2">IF(C3&gt;=200,"10%",IF(C3&gt;=150,"7%","5%"))</f>
        <v>7%</v>
      </c>
      <c r="I3" t="str">
        <f t="shared" ref="I3:I7" si="3">IF(C3&gt;=D3,"10%","5%")</f>
        <v>10%</v>
      </c>
      <c r="J3" t="str">
        <f t="shared" ref="J3:J7" si="4">IF(C3&gt;=200,"Excellent",IF(C3&gt;=150,"good","Needs Improvement"))</f>
        <v>good</v>
      </c>
      <c r="K3" t="str">
        <f t="shared" ref="K3:K7" si="5">IF(C3&gt;200,"high", IF(C3&gt;=100,"medium","low"))</f>
        <v>medium</v>
      </c>
      <c r="L3">
        <f t="shared" ref="L3:L7" si="6">IF(AND(C3&gt;=150,E3="North"),500,300)</f>
        <v>300</v>
      </c>
    </row>
    <row r="4" spans="1:12" x14ac:dyDescent="0.35">
      <c r="A4" s="3">
        <v>103</v>
      </c>
      <c r="B4" s="3" t="s">
        <v>9</v>
      </c>
      <c r="C4" s="3">
        <v>200</v>
      </c>
      <c r="D4" s="3">
        <v>200</v>
      </c>
      <c r="E4" s="2" t="s">
        <v>10</v>
      </c>
      <c r="F4" t="str">
        <f t="shared" si="0"/>
        <v>met</v>
      </c>
      <c r="G4" t="str">
        <f t="shared" si="1"/>
        <v>not eligible</v>
      </c>
      <c r="H4" t="str">
        <f t="shared" si="2"/>
        <v>10%</v>
      </c>
      <c r="I4" t="str">
        <f t="shared" si="3"/>
        <v>10%</v>
      </c>
      <c r="J4" t="str">
        <f t="shared" si="4"/>
        <v>Excellent</v>
      </c>
      <c r="K4" t="str">
        <f t="shared" si="5"/>
        <v>medium</v>
      </c>
      <c r="L4">
        <f t="shared" si="6"/>
        <v>300</v>
      </c>
    </row>
    <row r="5" spans="1:12" x14ac:dyDescent="0.35">
      <c r="A5" s="3">
        <v>104</v>
      </c>
      <c r="B5" s="3" t="s">
        <v>11</v>
      </c>
      <c r="C5" s="3">
        <v>90</v>
      </c>
      <c r="D5" s="3">
        <v>100</v>
      </c>
      <c r="E5" s="2" t="s">
        <v>12</v>
      </c>
      <c r="F5" t="str">
        <f t="shared" si="0"/>
        <v>not met</v>
      </c>
      <c r="G5" t="str">
        <f t="shared" si="1"/>
        <v>not eligible</v>
      </c>
      <c r="H5" t="str">
        <f t="shared" si="2"/>
        <v>5%</v>
      </c>
      <c r="I5" t="str">
        <f t="shared" si="3"/>
        <v>5%</v>
      </c>
      <c r="J5" t="str">
        <f t="shared" si="4"/>
        <v>Needs Improvement</v>
      </c>
      <c r="K5" t="str">
        <f t="shared" si="5"/>
        <v>low</v>
      </c>
      <c r="L5">
        <f t="shared" si="6"/>
        <v>300</v>
      </c>
    </row>
    <row r="6" spans="1:12" x14ac:dyDescent="0.35">
      <c r="A6" s="3">
        <v>105</v>
      </c>
      <c r="B6" s="3" t="s">
        <v>13</v>
      </c>
      <c r="C6" s="3">
        <v>220</v>
      </c>
      <c r="D6" s="3">
        <v>210</v>
      </c>
      <c r="E6" s="2" t="s">
        <v>6</v>
      </c>
      <c r="F6" t="str">
        <f t="shared" si="0"/>
        <v>met</v>
      </c>
      <c r="G6" t="str">
        <f t="shared" si="1"/>
        <v>eligible</v>
      </c>
      <c r="H6" t="str">
        <f t="shared" si="2"/>
        <v>10%</v>
      </c>
      <c r="I6" t="str">
        <f t="shared" si="3"/>
        <v>10%</v>
      </c>
      <c r="J6" t="str">
        <f t="shared" si="4"/>
        <v>Excellent</v>
      </c>
      <c r="K6" t="str">
        <f t="shared" si="5"/>
        <v>high</v>
      </c>
      <c r="L6">
        <f t="shared" si="6"/>
        <v>500</v>
      </c>
    </row>
    <row r="7" spans="1:12" x14ac:dyDescent="0.35">
      <c r="A7" s="3">
        <v>106</v>
      </c>
      <c r="B7" s="3" t="s">
        <v>14</v>
      </c>
      <c r="C7" s="3">
        <v>130</v>
      </c>
      <c r="D7" s="3">
        <v>160</v>
      </c>
      <c r="E7" s="2" t="s">
        <v>8</v>
      </c>
      <c r="F7" t="str">
        <f t="shared" si="0"/>
        <v>not met</v>
      </c>
      <c r="G7" t="str">
        <f t="shared" si="1"/>
        <v>not eligible</v>
      </c>
      <c r="H7" t="str">
        <f t="shared" si="2"/>
        <v>5%</v>
      </c>
      <c r="I7" t="str">
        <f t="shared" si="3"/>
        <v>5%</v>
      </c>
      <c r="J7" t="str">
        <f t="shared" si="4"/>
        <v>Needs Improvement</v>
      </c>
      <c r="K7" t="str">
        <f t="shared" si="5"/>
        <v>medium</v>
      </c>
      <c r="L7">
        <f t="shared" si="6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2026-08-10T10:29:53Z</dcterms:created>
  <dcterms:modified xsi:type="dcterms:W3CDTF">2026-08-10T11:29:49Z</dcterms:modified>
</cp:coreProperties>
</file>